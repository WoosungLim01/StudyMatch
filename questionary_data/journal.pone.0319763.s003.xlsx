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versiti Malaya\Desktop\SAHAR PhD\CFA manuscript submission\PLOS One\first rev\supplementary material\PLOS ONE FIRST REV SUBMISSION DOCS AND FILES\"/>
    </mc:Choice>
  </mc:AlternateContent>
  <xr:revisionPtr revIDLastSave="0" documentId="8_{79324124-E4B4-4A2D-B8D6-77A847121CBC}" xr6:coauthVersionLast="47" xr6:coauthVersionMax="47" xr10:uidLastSave="{00000000-0000-0000-0000-000000000000}"/>
  <bookViews>
    <workbookView xWindow="-108" yWindow="-108" windowWidth="23256" windowHeight="12576" xr2:uid="{9F9A0A09-B3E6-4D9B-90B8-8A2AA47C28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6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" i="1"/>
</calcChain>
</file>

<file path=xl/sharedStrings.xml><?xml version="1.0" encoding="utf-8"?>
<sst xmlns="http://schemas.openxmlformats.org/spreadsheetml/2006/main" count="136" uniqueCount="120">
  <si>
    <t>Item</t>
  </si>
  <si>
    <t>Expert 1</t>
  </si>
  <si>
    <t>Expert 2</t>
  </si>
  <si>
    <t>Expert 3</t>
  </si>
  <si>
    <t>Expert 4</t>
  </si>
  <si>
    <t>Expert 5</t>
  </si>
  <si>
    <t>Expert 6</t>
  </si>
  <si>
    <t>Expert 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</si>
  <si>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</si>
  <si>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</si>
  <si>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</si>
  <si>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</si>
  <si>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</si>
  <si>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</si>
  <si>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</si>
  <si>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</si>
  <si>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</si>
  <si>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</si>
  <si>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</si>
  <si>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</si>
  <si>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</si>
  <si>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</si>
  <si>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</si>
  <si>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</si>
  <si>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</si>
  <si>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</si>
  <si>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</si>
  <si>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</si>
  <si>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</si>
  <si>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</si>
  <si>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</si>
  <si>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</si>
  <si>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</si>
  <si>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</si>
  <si>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</si>
  <si>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</si>
  <si>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</si>
  <si>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</si>
  <si>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</si>
  <si>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</si>
  <si>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</si>
  <si>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</si>
  <si>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</si>
  <si>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</si>
  <si>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</si>
  <si>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</si>
  <si>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</si>
  <si>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</si>
  <si>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</si>
  <si>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</si>
  <si>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</si>
  <si>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</si>
  <si>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</si>
  <si>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</si>
  <si>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</si>
  <si>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</si>
  <si>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</si>
  <si>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</si>
  <si>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</si>
  <si>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</si>
  <si>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</si>
  <si>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</si>
  <si>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</si>
  <si>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</si>
  <si>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</si>
  <si>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</si>
  <si>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</si>
  <si>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</si>
  <si>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</si>
  <si>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</si>
  <si>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</si>
  <si>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</si>
  <si>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</si>
  <si>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</si>
  <si>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</si>
  <si>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</si>
  <si>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</si>
  <si>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</si>
  <si>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</si>
  <si>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</si>
  <si>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</si>
  <si>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</si>
  <si>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</si>
  <si>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</si>
  <si>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</si>
  <si>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</si>
  <si>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</si>
  <si>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</si>
  <si>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</si>
  <si>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Expert 8</t>
  </si>
  <si>
    <t>I-CVI</t>
  </si>
  <si>
    <t>Experts in agreement</t>
  </si>
  <si>
    <t>S-CVI/Ave</t>
  </si>
  <si>
    <t>Panel</t>
  </si>
  <si>
    <t xml:space="preserve">UM </t>
  </si>
  <si>
    <t>Non-UM</t>
  </si>
  <si>
    <t>Expertise</t>
  </si>
  <si>
    <t>Experience (years)</t>
  </si>
  <si>
    <t>Theory, conceptualisation)</t>
  </si>
  <si>
    <t>Expert Panel 1</t>
  </si>
  <si>
    <t>ü</t>
  </si>
  <si>
    <t>Orthopedics/Health Professions Education</t>
  </si>
  <si>
    <t>&gt;30</t>
  </si>
  <si>
    <t>Expert Panel 2</t>
  </si>
  <si>
    <t>Anatomy/ Medical Education</t>
  </si>
  <si>
    <t>Expert Panel 3</t>
  </si>
  <si>
    <t>Medicine</t>
  </si>
  <si>
    <t>Expert Panel 4</t>
  </si>
  <si>
    <t>Paeds Surgery/ Medical Education</t>
  </si>
  <si>
    <t>Expert Panel 5</t>
  </si>
  <si>
    <t>Radiology/ Medical Education</t>
  </si>
  <si>
    <t>Expert Panel 6</t>
  </si>
  <si>
    <t>Surgery/Health Professions Education</t>
  </si>
  <si>
    <t>Expert Panel 7</t>
  </si>
  <si>
    <t>Obs &amp; Gynae/ Health Professions Education</t>
  </si>
  <si>
    <t>Expert Panel 8</t>
  </si>
  <si>
    <t>Paediatrics</t>
  </si>
  <si>
    <t>Clinical/ subject</t>
  </si>
  <si>
    <t>Profile of panel of experts for Content validation of instruments showing the fulfilment of criteria in clinical teaching and conceptualisation expertise</t>
  </si>
  <si>
    <t>MSLQ content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</si>
</sst>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/>
    </xf>
    <xf numFmtId="2" fontId="3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5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3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0" xfId="0" applyFont="1" applyFill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EC15-92AC-4C38-B682-DE463E08FC81}">
  <dimension ref="A1:W86"/>
  <sheetViews>
    <sheetView tabSelected="1" workbookViewId="0">
      <selection activeCell="D1" sqref="D1"/>
    </sheetView>
  </sheetViews>
  <sheetFormatPr defaultRowHeight="14.4" x14ac:dyDescent="0.3"/>
  <cols>
    <col min="10" max="10" width="9.77734375" customWidth="1"/>
    <col min="21" max="21" width="11.33203125" customWidth="1"/>
  </cols>
  <sheetData>
    <row r="1" spans="1:23" x14ac:dyDescent="0.3">
      <c r="D1" s="23" t="s">
        <v>119</v>
      </c>
      <c r="E1" s="24"/>
      <c r="P1" s="14"/>
      <c r="Q1" s="15"/>
      <c r="R1" s="15"/>
      <c r="S1" s="15"/>
    </row>
    <row r="2" spans="1:23" ht="28.8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89</v>
      </c>
      <c r="J2" s="7" t="s">
        <v>91</v>
      </c>
      <c r="K2" s="2" t="s">
        <v>90</v>
      </c>
      <c r="U2" s="6"/>
      <c r="W2" s="1"/>
    </row>
    <row r="3" spans="1:23" x14ac:dyDescent="0.3">
      <c r="A3" t="s">
        <v>0</v>
      </c>
      <c r="V3" s="3"/>
    </row>
    <row r="4" spans="1:23" x14ac:dyDescent="0.3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7</v>
      </c>
      <c r="K4" s="3">
        <f>J4/8</f>
        <v>0.875</v>
      </c>
      <c r="V4" s="3"/>
    </row>
    <row r="5" spans="1:23" ht="14.4" customHeight="1" x14ac:dyDescent="0.3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8</v>
      </c>
      <c r="K5" s="3">
        <f t="shared" ref="K5:K68" si="0">J5/8</f>
        <v>1</v>
      </c>
      <c r="V5" s="3"/>
    </row>
    <row r="6" spans="1:23" x14ac:dyDescent="0.3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8</v>
      </c>
      <c r="K6" s="3">
        <f t="shared" si="0"/>
        <v>1</v>
      </c>
      <c r="V6" s="3"/>
    </row>
    <row r="7" spans="1:23" x14ac:dyDescent="0.3">
      <c r="A7" t="s">
        <v>11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7</v>
      </c>
      <c r="K7" s="3">
        <f t="shared" si="0"/>
        <v>0.875</v>
      </c>
      <c r="V7" s="3"/>
    </row>
    <row r="8" spans="1:23" x14ac:dyDescent="0.3">
      <c r="A8" t="s">
        <v>12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7</v>
      </c>
      <c r="K8" s="3">
        <f t="shared" si="0"/>
        <v>0.875</v>
      </c>
      <c r="V8" s="3"/>
    </row>
    <row r="9" spans="1:23" x14ac:dyDescent="0.3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8</v>
      </c>
      <c r="K9" s="3">
        <f t="shared" si="0"/>
        <v>1</v>
      </c>
      <c r="V9" s="3"/>
    </row>
    <row r="10" spans="1:23" x14ac:dyDescent="0.3">
      <c r="A10" t="s">
        <v>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8</v>
      </c>
      <c r="K10" s="3">
        <f t="shared" si="0"/>
        <v>1</v>
      </c>
      <c r="V10" s="3"/>
    </row>
    <row r="11" spans="1:23" x14ac:dyDescent="0.3">
      <c r="A11" t="s">
        <v>15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6</v>
      </c>
      <c r="K11" s="3">
        <f t="shared" si="0"/>
        <v>0.75</v>
      </c>
      <c r="L11" s="8"/>
      <c r="V11" s="1"/>
    </row>
    <row r="12" spans="1:23" x14ac:dyDescent="0.3">
      <c r="A12" t="s">
        <v>16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6</v>
      </c>
      <c r="K12" s="3">
        <f t="shared" si="0"/>
        <v>0.75</v>
      </c>
      <c r="T12" s="1"/>
      <c r="V12" s="3"/>
    </row>
    <row r="13" spans="1:23" x14ac:dyDescent="0.3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7</v>
      </c>
      <c r="K13" s="3">
        <f t="shared" si="0"/>
        <v>0.875</v>
      </c>
    </row>
    <row r="14" spans="1:23" x14ac:dyDescent="0.3">
      <c r="A14" t="s">
        <v>18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5</v>
      </c>
      <c r="K14" s="3">
        <f t="shared" si="0"/>
        <v>0.625</v>
      </c>
    </row>
    <row r="15" spans="1:23" x14ac:dyDescent="0.3">
      <c r="A15" t="s">
        <v>19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7</v>
      </c>
      <c r="K15" s="3">
        <f t="shared" si="0"/>
        <v>0.875</v>
      </c>
    </row>
    <row r="16" spans="1:23" x14ac:dyDescent="0.3">
      <c r="A16" t="s">
        <v>20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7</v>
      </c>
      <c r="K16" s="3">
        <f t="shared" si="0"/>
        <v>0.875</v>
      </c>
    </row>
    <row r="17" spans="1:11" x14ac:dyDescent="0.3">
      <c r="A17" t="s">
        <v>21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7</v>
      </c>
      <c r="K17" s="3">
        <f t="shared" si="0"/>
        <v>0.875</v>
      </c>
    </row>
    <row r="18" spans="1:11" x14ac:dyDescent="0.3">
      <c r="A18" t="s">
        <v>22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7</v>
      </c>
      <c r="K18" s="3">
        <f t="shared" si="0"/>
        <v>0.875</v>
      </c>
    </row>
    <row r="19" spans="1:11" x14ac:dyDescent="0.3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8</v>
      </c>
      <c r="K19" s="3">
        <f t="shared" si="0"/>
        <v>1</v>
      </c>
    </row>
    <row r="20" spans="1:11" x14ac:dyDescent="0.3">
      <c r="A20" t="s">
        <v>24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7</v>
      </c>
      <c r="K20" s="3">
        <f t="shared" si="0"/>
        <v>0.875</v>
      </c>
    </row>
    <row r="21" spans="1:11" x14ac:dyDescent="0.3">
      <c r="A21" t="s">
        <v>25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7</v>
      </c>
      <c r="K21" s="3">
        <f t="shared" si="0"/>
        <v>0.875</v>
      </c>
    </row>
    <row r="22" spans="1:11" x14ac:dyDescent="0.3">
      <c r="A22" t="s">
        <v>26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7</v>
      </c>
      <c r="K22" s="3">
        <f t="shared" si="0"/>
        <v>0.875</v>
      </c>
    </row>
    <row r="23" spans="1:11" x14ac:dyDescent="0.3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7</v>
      </c>
      <c r="K23" s="3">
        <f t="shared" si="0"/>
        <v>0.875</v>
      </c>
    </row>
    <row r="24" spans="1:11" x14ac:dyDescent="0.3">
      <c r="A24" t="s">
        <v>28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8</v>
      </c>
      <c r="K24" s="3">
        <f t="shared" si="0"/>
        <v>1</v>
      </c>
    </row>
    <row r="25" spans="1:11" x14ac:dyDescent="0.3">
      <c r="A25" t="s">
        <v>29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7</v>
      </c>
      <c r="K25" s="3">
        <f t="shared" si="0"/>
        <v>0.875</v>
      </c>
    </row>
    <row r="26" spans="1:11" x14ac:dyDescent="0.3">
      <c r="A26" t="s">
        <v>30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7</v>
      </c>
      <c r="K26" s="3">
        <f t="shared" si="0"/>
        <v>0.875</v>
      </c>
    </row>
    <row r="27" spans="1:11" x14ac:dyDescent="0.3">
      <c r="A27" t="s">
        <v>31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7</v>
      </c>
      <c r="K27" s="3">
        <f t="shared" si="0"/>
        <v>0.875</v>
      </c>
    </row>
    <row r="28" spans="1:11" x14ac:dyDescent="0.3">
      <c r="A28" t="s">
        <v>32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5</v>
      </c>
      <c r="K28" s="3">
        <f t="shared" si="0"/>
        <v>0.625</v>
      </c>
    </row>
    <row r="29" spans="1:11" x14ac:dyDescent="0.3">
      <c r="A29" t="s">
        <v>33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7</v>
      </c>
      <c r="K29" s="3">
        <f t="shared" si="0"/>
        <v>0.875</v>
      </c>
    </row>
    <row r="30" spans="1:11" x14ac:dyDescent="0.3">
      <c r="A30" t="s">
        <v>34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8</v>
      </c>
      <c r="K30" s="3">
        <f t="shared" si="0"/>
        <v>1</v>
      </c>
    </row>
    <row r="31" spans="1:11" x14ac:dyDescent="0.3">
      <c r="A31" t="s">
        <v>35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6</v>
      </c>
      <c r="K31" s="3">
        <f t="shared" si="0"/>
        <v>0.75</v>
      </c>
    </row>
    <row r="32" spans="1:11" x14ac:dyDescent="0.3">
      <c r="A32" t="s">
        <v>36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7</v>
      </c>
      <c r="K32" s="3">
        <f t="shared" si="0"/>
        <v>0.875</v>
      </c>
    </row>
    <row r="33" spans="1:11" x14ac:dyDescent="0.3">
      <c r="A33" t="s">
        <v>37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6</v>
      </c>
      <c r="K33" s="3">
        <f t="shared" si="0"/>
        <v>0.75</v>
      </c>
    </row>
    <row r="34" spans="1:11" x14ac:dyDescent="0.3">
      <c r="A34" t="s">
        <v>38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7</v>
      </c>
      <c r="K34" s="3">
        <f t="shared" si="0"/>
        <v>0.875</v>
      </c>
    </row>
    <row r="35" spans="1:11" x14ac:dyDescent="0.3">
      <c r="A35" t="s">
        <v>39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7</v>
      </c>
      <c r="K35" s="3">
        <f t="shared" si="0"/>
        <v>0.875</v>
      </c>
    </row>
    <row r="36" spans="1:11" x14ac:dyDescent="0.3">
      <c r="A36" t="s">
        <v>40</v>
      </c>
      <c r="B36">
        <v>0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6</v>
      </c>
      <c r="K36" s="3">
        <f t="shared" si="0"/>
        <v>0.75</v>
      </c>
    </row>
    <row r="37" spans="1:11" x14ac:dyDescent="0.3">
      <c r="A37" t="s">
        <v>41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8</v>
      </c>
      <c r="K37" s="3">
        <f t="shared" si="0"/>
        <v>1</v>
      </c>
    </row>
    <row r="38" spans="1:11" x14ac:dyDescent="0.3">
      <c r="A38" t="s">
        <v>42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7</v>
      </c>
      <c r="K38" s="3">
        <f t="shared" si="0"/>
        <v>0.875</v>
      </c>
    </row>
    <row r="39" spans="1:11" x14ac:dyDescent="0.3">
      <c r="A39" t="s">
        <v>43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7</v>
      </c>
      <c r="K39" s="3">
        <f t="shared" si="0"/>
        <v>0.875</v>
      </c>
    </row>
    <row r="40" spans="1:11" x14ac:dyDescent="0.3">
      <c r="A40" t="s">
        <v>44</v>
      </c>
      <c r="B40">
        <v>0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6</v>
      </c>
      <c r="K40" s="3">
        <f t="shared" si="0"/>
        <v>0.75</v>
      </c>
    </row>
    <row r="41" spans="1:11" x14ac:dyDescent="0.3">
      <c r="A41" t="s">
        <v>45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5</v>
      </c>
      <c r="K41" s="3">
        <f t="shared" si="0"/>
        <v>0.625</v>
      </c>
    </row>
    <row r="42" spans="1:11" x14ac:dyDescent="0.3">
      <c r="A42" t="s">
        <v>46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5</v>
      </c>
      <c r="K42" s="3">
        <f t="shared" si="0"/>
        <v>0.625</v>
      </c>
    </row>
    <row r="43" spans="1:11" x14ac:dyDescent="0.3">
      <c r="A43" t="s">
        <v>47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8</v>
      </c>
      <c r="K43" s="3">
        <f t="shared" si="0"/>
        <v>1</v>
      </c>
    </row>
    <row r="44" spans="1:11" x14ac:dyDescent="0.3">
      <c r="A44" t="s">
        <v>48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7</v>
      </c>
      <c r="K44" s="3">
        <f t="shared" si="0"/>
        <v>0.875</v>
      </c>
    </row>
    <row r="45" spans="1:11" x14ac:dyDescent="0.3">
      <c r="A45" t="s">
        <v>49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6</v>
      </c>
      <c r="K45" s="3">
        <f t="shared" si="0"/>
        <v>0.75</v>
      </c>
    </row>
    <row r="46" spans="1:11" x14ac:dyDescent="0.3">
      <c r="A46" t="s">
        <v>50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7</v>
      </c>
      <c r="K46" s="3">
        <f t="shared" si="0"/>
        <v>0.875</v>
      </c>
    </row>
    <row r="47" spans="1:11" x14ac:dyDescent="0.3">
      <c r="A47" t="s">
        <v>51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7</v>
      </c>
      <c r="K47" s="3">
        <f t="shared" si="0"/>
        <v>0.875</v>
      </c>
    </row>
    <row r="48" spans="1:11" x14ac:dyDescent="0.3">
      <c r="A48" t="s">
        <v>52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7</v>
      </c>
      <c r="K48" s="3">
        <f t="shared" si="0"/>
        <v>0.875</v>
      </c>
    </row>
    <row r="49" spans="1:11" x14ac:dyDescent="0.3">
      <c r="A49" t="s">
        <v>53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5</v>
      </c>
      <c r="K49" s="3">
        <f t="shared" si="0"/>
        <v>0.625</v>
      </c>
    </row>
    <row r="50" spans="1:11" x14ac:dyDescent="0.3">
      <c r="A50" t="s">
        <v>54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6</v>
      </c>
      <c r="K50" s="3">
        <f t="shared" si="0"/>
        <v>0.75</v>
      </c>
    </row>
    <row r="51" spans="1:11" x14ac:dyDescent="0.3">
      <c r="A51" t="s">
        <v>55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6</v>
      </c>
      <c r="K51" s="3">
        <f t="shared" si="0"/>
        <v>0.75</v>
      </c>
    </row>
    <row r="52" spans="1:11" x14ac:dyDescent="0.3">
      <c r="A52" t="s">
        <v>56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8</v>
      </c>
      <c r="K52" s="3">
        <f t="shared" si="0"/>
        <v>1</v>
      </c>
    </row>
    <row r="53" spans="1:11" x14ac:dyDescent="0.3">
      <c r="A53" t="s">
        <v>57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7</v>
      </c>
      <c r="K53" s="3">
        <f t="shared" si="0"/>
        <v>0.875</v>
      </c>
    </row>
    <row r="54" spans="1:11" x14ac:dyDescent="0.3">
      <c r="A54" t="s">
        <v>58</v>
      </c>
      <c r="B54">
        <v>0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6</v>
      </c>
      <c r="K54" s="3">
        <f t="shared" si="0"/>
        <v>0.75</v>
      </c>
    </row>
    <row r="55" spans="1:11" x14ac:dyDescent="0.3">
      <c r="A55" t="s">
        <v>59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6</v>
      </c>
      <c r="K55" s="3">
        <f t="shared" si="0"/>
        <v>0.75</v>
      </c>
    </row>
    <row r="56" spans="1:11" x14ac:dyDescent="0.3">
      <c r="A56" t="s">
        <v>60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8</v>
      </c>
      <c r="K56" s="3">
        <f t="shared" si="0"/>
        <v>1</v>
      </c>
    </row>
    <row r="57" spans="1:11" x14ac:dyDescent="0.3">
      <c r="A57" t="s">
        <v>61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7</v>
      </c>
      <c r="K57" s="3">
        <f t="shared" si="0"/>
        <v>0.875</v>
      </c>
    </row>
    <row r="58" spans="1:11" x14ac:dyDescent="0.3">
      <c r="A58" t="s">
        <v>62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7</v>
      </c>
      <c r="K58" s="3">
        <f t="shared" si="0"/>
        <v>0.875</v>
      </c>
    </row>
    <row r="59" spans="1:11" x14ac:dyDescent="0.3">
      <c r="A59" t="s">
        <v>63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7</v>
      </c>
      <c r="K59" s="3">
        <f t="shared" si="0"/>
        <v>0.875</v>
      </c>
    </row>
    <row r="60" spans="1:11" x14ac:dyDescent="0.3">
      <c r="A60" t="s">
        <v>64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6</v>
      </c>
      <c r="K60" s="3">
        <f t="shared" si="0"/>
        <v>0.75</v>
      </c>
    </row>
    <row r="61" spans="1:11" x14ac:dyDescent="0.3">
      <c r="A61" t="s">
        <v>65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7</v>
      </c>
      <c r="K61" s="3">
        <f t="shared" si="0"/>
        <v>0.875</v>
      </c>
    </row>
    <row r="62" spans="1:11" x14ac:dyDescent="0.3">
      <c r="A62" t="s">
        <v>66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7</v>
      </c>
      <c r="K62" s="3">
        <f t="shared" si="0"/>
        <v>0.875</v>
      </c>
    </row>
    <row r="63" spans="1:11" x14ac:dyDescent="0.3">
      <c r="A63" t="s">
        <v>67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7</v>
      </c>
      <c r="K63" s="3">
        <f t="shared" si="0"/>
        <v>0.875</v>
      </c>
    </row>
    <row r="64" spans="1:11" x14ac:dyDescent="0.3">
      <c r="A64" t="s">
        <v>68</v>
      </c>
      <c r="B64">
        <v>0</v>
      </c>
      <c r="C64">
        <v>1</v>
      </c>
      <c r="D64">
        <v>1</v>
      </c>
      <c r="E64">
        <v>0</v>
      </c>
      <c r="F64">
        <v>1</v>
      </c>
      <c r="G64">
        <v>0</v>
      </c>
      <c r="H64">
        <v>1</v>
      </c>
      <c r="I64">
        <v>1</v>
      </c>
      <c r="J64">
        <v>5</v>
      </c>
      <c r="K64" s="3">
        <f t="shared" si="0"/>
        <v>0.625</v>
      </c>
    </row>
    <row r="65" spans="1:11" x14ac:dyDescent="0.3">
      <c r="A65" t="s">
        <v>69</v>
      </c>
      <c r="B65">
        <v>0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6</v>
      </c>
      <c r="K65" s="3">
        <f t="shared" si="0"/>
        <v>0.75</v>
      </c>
    </row>
    <row r="66" spans="1:11" x14ac:dyDescent="0.3">
      <c r="A66" t="s">
        <v>70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7</v>
      </c>
      <c r="K66" s="3">
        <f t="shared" si="0"/>
        <v>0.875</v>
      </c>
    </row>
    <row r="67" spans="1:11" x14ac:dyDescent="0.3">
      <c r="A67" t="s">
        <v>71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7</v>
      </c>
      <c r="K67" s="3">
        <f t="shared" si="0"/>
        <v>0.875</v>
      </c>
    </row>
    <row r="68" spans="1:11" x14ac:dyDescent="0.3">
      <c r="A68" t="s">
        <v>72</v>
      </c>
      <c r="B68">
        <v>1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1</v>
      </c>
      <c r="J68">
        <v>5</v>
      </c>
      <c r="K68" s="3">
        <f t="shared" si="0"/>
        <v>0.625</v>
      </c>
    </row>
    <row r="69" spans="1:11" x14ac:dyDescent="0.3">
      <c r="A69" t="s">
        <v>73</v>
      </c>
      <c r="B69">
        <v>0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6</v>
      </c>
      <c r="K69" s="3">
        <f t="shared" ref="K69:K84" si="1">J69/8</f>
        <v>0.75</v>
      </c>
    </row>
    <row r="70" spans="1:11" x14ac:dyDescent="0.3">
      <c r="A70" t="s">
        <v>74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8</v>
      </c>
      <c r="K70" s="3">
        <f t="shared" si="1"/>
        <v>1</v>
      </c>
    </row>
    <row r="71" spans="1:11" x14ac:dyDescent="0.3">
      <c r="A71" t="s">
        <v>75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7</v>
      </c>
      <c r="K71" s="3">
        <f t="shared" si="1"/>
        <v>0.875</v>
      </c>
    </row>
    <row r="72" spans="1:11" x14ac:dyDescent="0.3">
      <c r="A72" t="s">
        <v>76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7</v>
      </c>
      <c r="K72" s="3">
        <f t="shared" si="1"/>
        <v>0.875</v>
      </c>
    </row>
    <row r="73" spans="1:11" x14ac:dyDescent="0.3">
      <c r="A73" t="s">
        <v>77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8</v>
      </c>
      <c r="K73" s="3">
        <f t="shared" si="1"/>
        <v>1</v>
      </c>
    </row>
    <row r="74" spans="1:11" x14ac:dyDescent="0.3">
      <c r="A74" t="s">
        <v>78</v>
      </c>
      <c r="B74">
        <v>0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6</v>
      </c>
      <c r="K74" s="3">
        <f t="shared" si="1"/>
        <v>0.75</v>
      </c>
    </row>
    <row r="75" spans="1:11" x14ac:dyDescent="0.3">
      <c r="A75" t="s">
        <v>79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6</v>
      </c>
      <c r="K75" s="3">
        <f t="shared" si="1"/>
        <v>0.75</v>
      </c>
    </row>
    <row r="76" spans="1:11" x14ac:dyDescent="0.3">
      <c r="A76" t="s">
        <v>80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8</v>
      </c>
      <c r="K76" s="3">
        <f t="shared" si="1"/>
        <v>1</v>
      </c>
    </row>
    <row r="77" spans="1:11" x14ac:dyDescent="0.3">
      <c r="A77" t="s">
        <v>81</v>
      </c>
      <c r="B77">
        <v>0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5</v>
      </c>
      <c r="K77" s="3">
        <f t="shared" si="1"/>
        <v>0.625</v>
      </c>
    </row>
    <row r="78" spans="1:11" x14ac:dyDescent="0.3">
      <c r="A78" t="s">
        <v>82</v>
      </c>
      <c r="B78">
        <v>0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6</v>
      </c>
      <c r="K78" s="3">
        <f t="shared" si="1"/>
        <v>0.75</v>
      </c>
    </row>
    <row r="79" spans="1:11" x14ac:dyDescent="0.3">
      <c r="A79" t="s">
        <v>83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7</v>
      </c>
      <c r="K79" s="3">
        <f t="shared" si="1"/>
        <v>0.875</v>
      </c>
    </row>
    <row r="80" spans="1:11" x14ac:dyDescent="0.3">
      <c r="A80" t="s">
        <v>84</v>
      </c>
      <c r="B80">
        <v>0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6</v>
      </c>
      <c r="K80" s="3">
        <f t="shared" si="1"/>
        <v>0.75</v>
      </c>
    </row>
    <row r="81" spans="1:15" x14ac:dyDescent="0.3">
      <c r="A81" t="s">
        <v>85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8</v>
      </c>
      <c r="K81" s="3">
        <f t="shared" si="1"/>
        <v>1</v>
      </c>
    </row>
    <row r="82" spans="1:15" x14ac:dyDescent="0.3">
      <c r="A82" t="s">
        <v>86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5</v>
      </c>
      <c r="K82" s="3">
        <f t="shared" si="1"/>
        <v>0.625</v>
      </c>
    </row>
    <row r="83" spans="1:15" x14ac:dyDescent="0.3">
      <c r="A83" t="s">
        <v>87</v>
      </c>
      <c r="B83">
        <v>0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6</v>
      </c>
      <c r="K83" s="3">
        <f t="shared" si="1"/>
        <v>0.75</v>
      </c>
    </row>
    <row r="84" spans="1:15" x14ac:dyDescent="0.3">
      <c r="A84" t="s">
        <v>88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8</v>
      </c>
      <c r="K84" s="3">
        <f t="shared" si="1"/>
        <v>1</v>
      </c>
    </row>
    <row r="86" spans="1:15" ht="15.6" x14ac:dyDescent="0.3">
      <c r="J86" s="4" t="s">
        <v>92</v>
      </c>
      <c r="K86" s="5">
        <f>AVERAGE(K4:K84)</f>
        <v>0.84259259259259256</v>
      </c>
      <c r="O86" s="3"/>
    </row>
  </sheetData>
  <mergeCells count="1">
    <mergeCell ref="P1:S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CD50-A436-44F3-9DD9-684F4A9A8A4C}">
  <dimension ref="B3:O15"/>
  <sheetViews>
    <sheetView workbookViewId="0">
      <selection activeCell="J11" sqref="J11"/>
    </sheetView>
  </sheetViews>
  <sheetFormatPr defaultRowHeight="14.4" x14ac:dyDescent="0.3"/>
  <sheetData>
    <row r="3" spans="2:15" x14ac:dyDescent="0.3">
      <c r="B3" s="16" t="s">
        <v>118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ht="15" thickBot="1" x14ac:dyDescent="0.35"/>
    <row r="5" spans="2:15" ht="14.4" customHeight="1" x14ac:dyDescent="0.3">
      <c r="B5" s="17" t="s">
        <v>93</v>
      </c>
      <c r="C5" s="17" t="s">
        <v>94</v>
      </c>
      <c r="D5" s="17" t="s">
        <v>95</v>
      </c>
      <c r="E5" s="19" t="s">
        <v>96</v>
      </c>
      <c r="F5" s="20"/>
      <c r="G5" s="17" t="s">
        <v>97</v>
      </c>
    </row>
    <row r="6" spans="2:15" ht="15" thickBot="1" x14ac:dyDescent="0.35">
      <c r="B6" s="18"/>
      <c r="C6" s="18"/>
      <c r="D6" s="18"/>
      <c r="E6" s="21"/>
      <c r="F6" s="22"/>
      <c r="G6" s="18"/>
    </row>
    <row r="7" spans="2:15" ht="34.799999999999997" thickBot="1" x14ac:dyDescent="0.35">
      <c r="B7" s="9"/>
      <c r="C7" s="10"/>
      <c r="D7" s="10"/>
      <c r="E7" s="10" t="s">
        <v>117</v>
      </c>
      <c r="F7" s="10" t="s">
        <v>98</v>
      </c>
      <c r="G7" s="10"/>
    </row>
    <row r="8" spans="2:15" ht="48.6" thickBot="1" x14ac:dyDescent="0.35">
      <c r="B8" s="9" t="s">
        <v>99</v>
      </c>
      <c r="C8" s="11"/>
      <c r="D8" s="12" t="s">
        <v>100</v>
      </c>
      <c r="E8" s="13" t="s">
        <v>101</v>
      </c>
      <c r="F8" s="12" t="s">
        <v>100</v>
      </c>
      <c r="G8" s="11" t="s">
        <v>102</v>
      </c>
    </row>
    <row r="9" spans="2:15" ht="36.6" thickBot="1" x14ac:dyDescent="0.35">
      <c r="B9" s="9" t="s">
        <v>103</v>
      </c>
      <c r="C9" s="11"/>
      <c r="D9" s="12" t="s">
        <v>100</v>
      </c>
      <c r="E9" s="13" t="s">
        <v>104</v>
      </c>
      <c r="F9" s="12" t="s">
        <v>100</v>
      </c>
      <c r="G9" s="11">
        <v>15</v>
      </c>
    </row>
    <row r="10" spans="2:15" ht="24.6" thickBot="1" x14ac:dyDescent="0.35">
      <c r="B10" s="9" t="s">
        <v>105</v>
      </c>
      <c r="C10" s="12" t="s">
        <v>100</v>
      </c>
      <c r="D10" s="11"/>
      <c r="E10" s="13" t="s">
        <v>106</v>
      </c>
      <c r="F10" s="12" t="s">
        <v>100</v>
      </c>
      <c r="G10" s="11">
        <v>10</v>
      </c>
    </row>
    <row r="11" spans="2:15" ht="48.6" thickBot="1" x14ac:dyDescent="0.35">
      <c r="B11" s="9" t="s">
        <v>107</v>
      </c>
      <c r="C11" s="12" t="s">
        <v>100</v>
      </c>
      <c r="D11" s="11"/>
      <c r="E11" s="13" t="s">
        <v>108</v>
      </c>
      <c r="F11" s="12" t="s">
        <v>100</v>
      </c>
      <c r="G11" s="11">
        <v>20</v>
      </c>
    </row>
    <row r="12" spans="2:15" ht="36.6" thickBot="1" x14ac:dyDescent="0.35">
      <c r="B12" s="9" t="s">
        <v>109</v>
      </c>
      <c r="C12" s="12" t="s">
        <v>100</v>
      </c>
      <c r="D12" s="11"/>
      <c r="E12" s="13" t="s">
        <v>110</v>
      </c>
      <c r="F12" s="12" t="s">
        <v>100</v>
      </c>
      <c r="G12" s="11">
        <v>24</v>
      </c>
    </row>
    <row r="13" spans="2:15" ht="48.6" thickBot="1" x14ac:dyDescent="0.35">
      <c r="B13" s="9" t="s">
        <v>111</v>
      </c>
      <c r="C13" s="11"/>
      <c r="D13" s="12" t="s">
        <v>100</v>
      </c>
      <c r="E13" s="13" t="s">
        <v>112</v>
      </c>
      <c r="F13" s="12" t="s">
        <v>100</v>
      </c>
      <c r="G13" s="11" t="s">
        <v>102</v>
      </c>
    </row>
    <row r="14" spans="2:15" ht="60.6" thickBot="1" x14ac:dyDescent="0.35">
      <c r="B14" s="9" t="s">
        <v>113</v>
      </c>
      <c r="C14" s="11"/>
      <c r="D14" s="12" t="s">
        <v>100</v>
      </c>
      <c r="E14" s="13" t="s">
        <v>114</v>
      </c>
      <c r="F14" s="12" t="s">
        <v>100</v>
      </c>
      <c r="G14" s="11">
        <v>24</v>
      </c>
    </row>
    <row r="15" spans="2:15" ht="24.6" thickBot="1" x14ac:dyDescent="0.35">
      <c r="B15" s="9" t="s">
        <v>115</v>
      </c>
      <c r="C15" s="11"/>
      <c r="D15" s="12" t="s">
        <v>100</v>
      </c>
      <c r="E15" s="13" t="s">
        <v>116</v>
      </c>
      <c r="F15" s="12" t="s">
        <v>100</v>
      </c>
      <c r="G15" s="11">
        <v>14</v>
      </c>
    </row>
  </sheetData>
  <mergeCells count="6">
    <mergeCell ref="B3:O3"/>
    <mergeCell ref="B5:B6"/>
    <mergeCell ref="C5:C6"/>
    <mergeCell ref="D5:D6"/>
    <mergeCell ref="E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FATIMA</dc:creator>
  <cp:lastModifiedBy>Umer</cp:lastModifiedBy>
  <dcterms:created xsi:type="dcterms:W3CDTF">2022-06-29T03:14:31Z</dcterms:created>
  <dcterms:modified xsi:type="dcterms:W3CDTF">2025-01-27T07:33:33Z</dcterms:modified>
</cp:coreProperties>
</file>